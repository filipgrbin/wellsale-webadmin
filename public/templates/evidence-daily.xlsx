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3044CB7-B86E-46B7-8DAA-A671F4776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NNÍ PRODEJ PVD00M0000" sheetId="2" r:id="rId1"/>
    <sheet name="D00M00 Evidence při uvádění P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5" i="2" l="1"/>
  <c r="AH5" i="2" s="1"/>
  <c r="K5" i="1"/>
  <c r="L5" i="1" s="1"/>
  <c r="K7" i="1"/>
  <c r="L7" i="1" s="1"/>
  <c r="AG7" i="2"/>
  <c r="AH7" i="2" s="1"/>
  <c r="K3" i="1"/>
  <c r="L3" i="1" s="1"/>
  <c r="AG3" i="2"/>
  <c r="AH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Rage</author>
  </authors>
  <commentList>
    <comment ref="AG3" authorId="0" shapeId="0" xr:uid="{8A65722C-8539-44ED-9262-A8B602E50B8D}">
      <text/>
    </comment>
    <comment ref="AG5" authorId="0" shapeId="0" xr:uid="{C33891F7-8EA5-4880-AC82-D66566DD0A3E}">
      <text/>
    </comment>
    <comment ref="AG7" authorId="0" shapeId="0" xr:uid="{8FB009B4-6973-4EEA-9129-2FDCB0B53F7B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Rage</author>
  </authors>
  <commentList>
    <comment ref="K3" authorId="0" shapeId="0" xr:uid="{C5E52B4A-0488-4B52-B966-B07771DD56F6}">
      <text/>
    </comment>
    <comment ref="K5" authorId="0" shapeId="0" xr:uid="{0C43DCBC-E00D-4A38-A450-B72556E4BCD1}">
      <text/>
    </comment>
    <comment ref="K7" authorId="0" shapeId="0" xr:uid="{9D22EE91-8021-42C6-9CC8-E2C4E26601D1}">
      <text/>
    </comment>
  </commentList>
</comments>
</file>

<file path=xl/sharedStrings.xml><?xml version="1.0" encoding="utf-8"?>
<sst xmlns="http://schemas.openxmlformats.org/spreadsheetml/2006/main" count="86" uniqueCount="27">
  <si>
    <t>Datum příjmu</t>
  </si>
  <si>
    <t>Datum výdeje</t>
  </si>
  <si>
    <t>Číslo dokladu o příjmu</t>
  </si>
  <si>
    <t>Číslo dokladu o výdeji</t>
  </si>
  <si>
    <t>Číslo šarže</t>
  </si>
  <si>
    <t>Podpis / kvalifikovaný e-podpis</t>
  </si>
  <si>
    <t>Pořadové číslo</t>
  </si>
  <si>
    <t>Název, podtyp a formu a velikost jednotkového balení psychomodulační látky určené k uvedení na
trh,</t>
  </si>
  <si>
    <t>Jméno, popřípadě jména, a příjmení nebo název a sídlo dodavatele</t>
  </si>
  <si>
    <t>Ragefitness s.r.o. - Zámecký okruh 996/19, Opava, 746 01</t>
  </si>
  <si>
    <t xml:space="preserve">Kratom Zelený prášek 50 g </t>
  </si>
  <si>
    <t xml:space="preserve">Kratom Bílý prášek 50 g </t>
  </si>
  <si>
    <t xml:space="preserve">Kratom Červený prášek 50 g </t>
  </si>
  <si>
    <t>Množství přijaté ks</t>
  </si>
  <si>
    <t>Množství celkem ks</t>
  </si>
  <si>
    <t>Množství vydané ks</t>
  </si>
  <si>
    <t>Stav zásob ks</t>
  </si>
  <si>
    <t>MNOŽSTVÍ CELKEM ks</t>
  </si>
  <si>
    <t xml:space="preserve">L37001229 </t>
  </si>
  <si>
    <t>2c</t>
  </si>
  <si>
    <t>3b</t>
  </si>
  <si>
    <t>L38000001</t>
  </si>
  <si>
    <t>L38000002</t>
  </si>
  <si>
    <t>Kratom Plody Země s.r.o. Revoluční 1082/8, Nové Město, 110 00 Praha 1</t>
  </si>
  <si>
    <t>PV19072026</t>
  </si>
  <si>
    <t>D00M00</t>
  </si>
  <si>
    <t>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</si>
</sst>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38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textRotation="90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3E6D-5DF6-42F0-9036-6A8524749E84}">
  <dimension ref="A1:AI8"/>
  <sheetViews>
    <sheetView tabSelected="1" zoomScaleNormal="100" workbookViewId="0">
      <selection activeCell="A8" sqref="A8:E8"/>
    </sheetView>
  </sheetViews>
  <sheetFormatPr defaultColWidth="9.109375" defaultRowHeight="14.4" x14ac:dyDescent="0.3"/>
  <cols>
    <col min="1" max="1" width="6" style="1" customWidth="1"/>
    <col min="2" max="2" width="8.6640625" style="1" customWidth="1"/>
    <col min="3" max="4" width="10.44140625" style="1" customWidth="1"/>
    <col min="5" max="5" width="9.6640625" style="1" customWidth="1"/>
    <col min="6" max="6" width="3.5546875" style="2" bestFit="1" customWidth="1"/>
    <col min="7" max="7" width="3.6640625" style="2" customWidth="1"/>
    <col min="8" max="12" width="3.5546875" style="2" bestFit="1" customWidth="1"/>
    <col min="13" max="27" width="3.5546875" style="2" customWidth="1"/>
    <col min="28" max="28" width="3.5546875" style="2" bestFit="1" customWidth="1"/>
    <col min="29" max="31" width="10.33203125" style="1" customWidth="1"/>
    <col min="32" max="32" width="7.6640625" style="1" customWidth="1"/>
    <col min="33" max="33" width="10.33203125" style="1" customWidth="1"/>
    <col min="34" max="34" width="6.88671875" style="1" customWidth="1"/>
    <col min="35" max="35" width="10.33203125" style="1" customWidth="1"/>
    <col min="36" max="16384" width="9.109375" style="1"/>
  </cols>
  <sheetData>
    <row r="1" spans="1:35" x14ac:dyDescent="0.3">
      <c r="A1" s="20"/>
      <c r="B1" s="21"/>
      <c r="C1" s="21"/>
      <c r="D1" s="21"/>
      <c r="E1" s="21"/>
    </row>
    <row r="2" spans="1:35" ht="132" x14ac:dyDescent="0.3">
      <c r="A2" s="9" t="s">
        <v>6</v>
      </c>
      <c r="B2" s="9" t="s">
        <v>7</v>
      </c>
      <c r="C2" s="9" t="s">
        <v>0</v>
      </c>
      <c r="D2" s="9" t="s">
        <v>1</v>
      </c>
      <c r="E2" s="9" t="s">
        <v>2</v>
      </c>
      <c r="F2" s="10" t="s">
        <v>3</v>
      </c>
      <c r="G2" s="10" t="s">
        <v>3</v>
      </c>
      <c r="H2" s="10" t="s">
        <v>3</v>
      </c>
      <c r="I2" s="10" t="s">
        <v>3</v>
      </c>
      <c r="J2" s="10" t="s">
        <v>3</v>
      </c>
      <c r="K2" s="10" t="s">
        <v>3</v>
      </c>
      <c r="L2" s="10" t="s">
        <v>3</v>
      </c>
      <c r="M2" s="10" t="s">
        <v>3</v>
      </c>
      <c r="N2" s="10" t="s">
        <v>3</v>
      </c>
      <c r="O2" s="10" t="s">
        <v>3</v>
      </c>
      <c r="P2" s="10" t="s">
        <v>3</v>
      </c>
      <c r="Q2" s="10" t="s">
        <v>3</v>
      </c>
      <c r="R2" s="10" t="s">
        <v>3</v>
      </c>
      <c r="S2" s="10" t="s">
        <v>3</v>
      </c>
      <c r="T2" s="10" t="s">
        <v>3</v>
      </c>
      <c r="U2" s="10" t="s">
        <v>3</v>
      </c>
      <c r="V2" s="10" t="s">
        <v>3</v>
      </c>
      <c r="W2" s="10" t="s">
        <v>3</v>
      </c>
      <c r="X2" s="10" t="s">
        <v>3</v>
      </c>
      <c r="Y2" s="10" t="s">
        <v>3</v>
      </c>
      <c r="Z2" s="10" t="s">
        <v>3</v>
      </c>
      <c r="AA2" s="10" t="s">
        <v>3</v>
      </c>
      <c r="AB2" s="10" t="s">
        <v>3</v>
      </c>
      <c r="AC2" s="9" t="s">
        <v>4</v>
      </c>
      <c r="AD2" s="9" t="s">
        <v>8</v>
      </c>
      <c r="AE2" s="9" t="s">
        <v>13</v>
      </c>
      <c r="AF2" s="9" t="s">
        <v>14</v>
      </c>
      <c r="AG2" s="9" t="s">
        <v>15</v>
      </c>
      <c r="AH2" s="9" t="s">
        <v>16</v>
      </c>
      <c r="AI2" s="9" t="s">
        <v>5</v>
      </c>
    </row>
    <row r="3" spans="1:35" ht="76.8" customHeight="1" x14ac:dyDescent="0.3">
      <c r="A3" s="3">
        <v>3</v>
      </c>
      <c r="B3" s="3" t="s">
        <v>12</v>
      </c>
      <c r="C3" s="4"/>
      <c r="D3" s="4" t="s">
        <v>26</v>
      </c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3" t="s">
        <v>18</v>
      </c>
      <c r="AD3" s="8" t="s">
        <v>9</v>
      </c>
      <c r="AE3" s="3"/>
      <c r="AF3" s="3">
        <v>0</v>
      </c>
      <c r="AG3" s="3">
        <f>SUM(F4:AB4)</f>
        <v>0</v>
      </c>
      <c r="AH3" s="3">
        <f t="shared" ref="AH3" si="0">AF3-AG3</f>
        <v>0</v>
      </c>
      <c r="AI3" s="3"/>
    </row>
    <row r="4" spans="1:35" ht="14.4" customHeight="1" x14ac:dyDescent="0.3">
      <c r="A4" s="19" t="s">
        <v>17</v>
      </c>
      <c r="B4" s="19"/>
      <c r="C4" s="19"/>
      <c r="D4" s="19"/>
      <c r="E4" s="19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/>
      <c r="AD4" s="7"/>
      <c r="AE4" s="7"/>
      <c r="AF4" s="7"/>
      <c r="AG4" s="7">
        <v>0</v>
      </c>
      <c r="AH4" s="7"/>
      <c r="AI4" s="7"/>
    </row>
    <row r="5" spans="1:35" ht="79.2" customHeight="1" x14ac:dyDescent="0.3">
      <c r="A5" s="3" t="s">
        <v>20</v>
      </c>
      <c r="B5" s="3" t="s">
        <v>11</v>
      </c>
      <c r="C5" s="4"/>
      <c r="D5" s="4" t="s">
        <v>26</v>
      </c>
      <c r="E5" s="3"/>
      <c r="F5" s="5"/>
      <c r="G5" s="5"/>
      <c r="H5" s="5"/>
      <c r="I5" s="5"/>
      <c r="J5" s="16"/>
      <c r="K5" s="5"/>
      <c r="L5" s="18"/>
      <c r="M5" s="5"/>
      <c r="N5" s="5"/>
      <c r="O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" t="s">
        <v>22</v>
      </c>
      <c r="AD5" s="8" t="s">
        <v>23</v>
      </c>
      <c r="AE5" s="3"/>
      <c r="AF5" s="3">
        <v>0</v>
      </c>
      <c r="AG5" s="3">
        <f>SUM(F6:AB6)</f>
        <v>0</v>
      </c>
      <c r="AH5" s="3">
        <f>AF5-AG5</f>
        <v>0</v>
      </c>
      <c r="AI5" s="3"/>
    </row>
    <row r="6" spans="1:35" x14ac:dyDescent="0.3">
      <c r="A6" s="19" t="s">
        <v>17</v>
      </c>
      <c r="B6" s="19"/>
      <c r="C6" s="19"/>
      <c r="D6" s="19"/>
      <c r="E6" s="19"/>
      <c r="F6" s="6"/>
      <c r="G6" s="6"/>
      <c r="H6" s="6"/>
      <c r="I6" s="6"/>
      <c r="J6" s="6"/>
      <c r="K6" s="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/>
      <c r="AD6" s="7"/>
      <c r="AE6" s="7"/>
      <c r="AF6" s="7"/>
      <c r="AG6" s="7">
        <v>0</v>
      </c>
      <c r="AH6" s="7"/>
      <c r="AI6" s="7"/>
    </row>
    <row r="7" spans="1:35" ht="68.400000000000006" customHeight="1" x14ac:dyDescent="0.3">
      <c r="A7" s="3" t="s">
        <v>19</v>
      </c>
      <c r="B7" s="3" t="s">
        <v>10</v>
      </c>
      <c r="C7" s="4"/>
      <c r="D7" s="4" t="s">
        <v>26</v>
      </c>
      <c r="E7" s="3"/>
      <c r="F7" s="5"/>
      <c r="G7" s="5"/>
      <c r="H7" s="5"/>
      <c r="I7" s="5"/>
      <c r="J7" s="16"/>
      <c r="K7" s="5"/>
      <c r="L7" s="5"/>
      <c r="N7" s="5"/>
      <c r="O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3" t="s">
        <v>21</v>
      </c>
      <c r="AD7" s="8" t="s">
        <v>23</v>
      </c>
      <c r="AE7" s="3"/>
      <c r="AF7" s="3">
        <v>0</v>
      </c>
      <c r="AG7" s="3">
        <f>SUM(F8:AB8)</f>
        <v>0</v>
      </c>
      <c r="AH7" s="3">
        <f>AF7-AG7</f>
        <v>0</v>
      </c>
      <c r="AI7" s="3"/>
    </row>
    <row r="8" spans="1:35" x14ac:dyDescent="0.3">
      <c r="A8" s="19" t="s">
        <v>17</v>
      </c>
      <c r="B8" s="19"/>
      <c r="C8" s="19"/>
      <c r="D8" s="19"/>
      <c r="E8" s="1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7"/>
      <c r="AD8" s="7"/>
      <c r="AE8" s="7"/>
      <c r="AF8" s="7"/>
      <c r="AG8" s="7">
        <v>0</v>
      </c>
      <c r="AH8" s="7"/>
      <c r="AI8" s="7"/>
    </row>
  </sheetData>
  <mergeCells count="4">
    <mergeCell ref="A6:E6"/>
    <mergeCell ref="A1:E1"/>
    <mergeCell ref="A4:E4"/>
    <mergeCell ref="A8:E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zoomScale="79" zoomScaleNormal="100" workbookViewId="0">
      <selection activeCell="E19" sqref="E19"/>
    </sheetView>
  </sheetViews>
  <sheetFormatPr defaultColWidth="9.109375" defaultRowHeight="10.199999999999999" x14ac:dyDescent="0.3"/>
  <cols>
    <col min="1" max="1" width="6" style="11" customWidth="1"/>
    <col min="2" max="2" width="8.6640625" style="11" customWidth="1"/>
    <col min="3" max="4" width="10.44140625" style="11" customWidth="1"/>
    <col min="5" max="5" width="11.21875" style="11" customWidth="1"/>
    <col min="6" max="6" width="12.6640625" style="11" customWidth="1"/>
    <col min="7" max="9" width="10.33203125" style="11" customWidth="1"/>
    <col min="10" max="10" width="7.6640625" style="11" customWidth="1"/>
    <col min="11" max="11" width="10.33203125" style="11" customWidth="1"/>
    <col min="12" max="12" width="6.88671875" style="11" customWidth="1"/>
    <col min="13" max="13" width="10.33203125" style="11" customWidth="1"/>
    <col min="14" max="16384" width="9.109375" style="11"/>
  </cols>
  <sheetData>
    <row r="1" spans="1:13" x14ac:dyDescent="0.3">
      <c r="A1" s="25" t="s">
        <v>25</v>
      </c>
      <c r="B1" s="25"/>
      <c r="C1" s="25"/>
      <c r="D1" s="25"/>
      <c r="E1" s="25"/>
    </row>
    <row r="2" spans="1:13" ht="124.8" customHeight="1" x14ac:dyDescent="0.3">
      <c r="A2" s="12" t="s">
        <v>6</v>
      </c>
      <c r="B2" s="12" t="s">
        <v>7</v>
      </c>
      <c r="C2" s="12" t="s">
        <v>0</v>
      </c>
      <c r="D2" s="12" t="s">
        <v>1</v>
      </c>
      <c r="E2" s="12" t="s">
        <v>2</v>
      </c>
      <c r="F2" s="12" t="s">
        <v>3</v>
      </c>
      <c r="G2" s="12" t="s">
        <v>4</v>
      </c>
      <c r="H2" s="12" t="s">
        <v>8</v>
      </c>
      <c r="I2" s="12" t="s">
        <v>13</v>
      </c>
      <c r="J2" s="12" t="s">
        <v>14</v>
      </c>
      <c r="K2" s="12" t="s">
        <v>15</v>
      </c>
      <c r="L2" s="12" t="s">
        <v>16</v>
      </c>
      <c r="M2" s="12" t="s">
        <v>5</v>
      </c>
    </row>
    <row r="3" spans="1:13" ht="42" customHeight="1" x14ac:dyDescent="0.3">
      <c r="A3" s="13">
        <v>3</v>
      </c>
      <c r="B3" s="13" t="s">
        <v>12</v>
      </c>
      <c r="C3" s="14"/>
      <c r="D3" s="17" t="s">
        <v>1</v>
      </c>
      <c r="E3" s="13"/>
      <c r="F3" s="13" t="s">
        <v>24</v>
      </c>
      <c r="G3" s="13" t="s">
        <v>18</v>
      </c>
      <c r="H3" s="13" t="s">
        <v>9</v>
      </c>
      <c r="I3" s="13"/>
      <c r="J3" s="13">
        <v>0</v>
      </c>
      <c r="K3" s="13">
        <f>SUM(F4:F4)</f>
        <v>0</v>
      </c>
      <c r="L3" s="13">
        <f t="shared" ref="L3" si="0">J3-K3</f>
        <v>0</v>
      </c>
      <c r="M3" s="13"/>
    </row>
    <row r="4" spans="1:13" ht="14.4" customHeight="1" x14ac:dyDescent="0.3">
      <c r="A4" s="22" t="s">
        <v>17</v>
      </c>
      <c r="B4" s="23"/>
      <c r="C4" s="23"/>
      <c r="D4" s="23"/>
      <c r="E4" s="24"/>
      <c r="F4" s="6">
        <v>0</v>
      </c>
      <c r="G4" s="15"/>
      <c r="H4" s="15"/>
      <c r="I4" s="15"/>
      <c r="J4" s="15"/>
      <c r="K4" s="15">
        <v>0</v>
      </c>
      <c r="L4" s="15"/>
      <c r="M4" s="15"/>
    </row>
    <row r="5" spans="1:13" ht="43.2" customHeight="1" x14ac:dyDescent="0.3">
      <c r="A5" s="13" t="s">
        <v>20</v>
      </c>
      <c r="B5" s="13" t="s">
        <v>11</v>
      </c>
      <c r="C5" s="14"/>
      <c r="D5" s="14" t="s">
        <v>1</v>
      </c>
      <c r="E5" s="13"/>
      <c r="F5" s="13" t="s">
        <v>24</v>
      </c>
      <c r="G5" s="13" t="s">
        <v>22</v>
      </c>
      <c r="H5" s="13" t="s">
        <v>23</v>
      </c>
      <c r="I5" s="13"/>
      <c r="J5" s="13">
        <v>0</v>
      </c>
      <c r="K5" s="13">
        <f>SUM(F6:F6)</f>
        <v>0</v>
      </c>
      <c r="L5" s="13">
        <f t="shared" ref="L5" si="1">J5-K5</f>
        <v>0</v>
      </c>
      <c r="M5" s="13"/>
    </row>
    <row r="6" spans="1:13" x14ac:dyDescent="0.3">
      <c r="A6" s="22" t="s">
        <v>17</v>
      </c>
      <c r="B6" s="23"/>
      <c r="C6" s="23"/>
      <c r="D6" s="23"/>
      <c r="E6" s="24"/>
      <c r="F6" s="6">
        <v>0</v>
      </c>
      <c r="G6" s="15"/>
      <c r="H6" s="15"/>
      <c r="I6" s="15"/>
      <c r="J6" s="15"/>
      <c r="K6" s="15">
        <v>0</v>
      </c>
      <c r="L6" s="15"/>
      <c r="M6" s="15"/>
    </row>
    <row r="7" spans="1:13" ht="53.4" customHeight="1" x14ac:dyDescent="0.3">
      <c r="A7" s="13" t="s">
        <v>19</v>
      </c>
      <c r="B7" s="13" t="s">
        <v>10</v>
      </c>
      <c r="C7" s="14"/>
      <c r="D7" s="14" t="s">
        <v>1</v>
      </c>
      <c r="E7" s="13"/>
      <c r="F7" s="13" t="s">
        <v>24</v>
      </c>
      <c r="G7" s="13" t="s">
        <v>21</v>
      </c>
      <c r="H7" s="13" t="s">
        <v>23</v>
      </c>
      <c r="I7" s="13"/>
      <c r="J7" s="13">
        <v>0</v>
      </c>
      <c r="K7" s="13">
        <f>SUM(F8:F8)</f>
        <v>0</v>
      </c>
      <c r="L7" s="13">
        <f t="shared" ref="L7" si="2">J7-K7</f>
        <v>0</v>
      </c>
      <c r="M7" s="13"/>
    </row>
    <row r="8" spans="1:13" x14ac:dyDescent="0.3">
      <c r="A8" s="22" t="s">
        <v>17</v>
      </c>
      <c r="B8" s="23"/>
      <c r="C8" s="23"/>
      <c r="D8" s="23"/>
      <c r="E8" s="24"/>
      <c r="F8" s="6">
        <v>0</v>
      </c>
      <c r="G8" s="15"/>
      <c r="H8" s="15"/>
      <c r="I8" s="15"/>
      <c r="J8" s="15"/>
      <c r="K8" s="15">
        <v>0</v>
      </c>
      <c r="L8" s="15"/>
      <c r="M8" s="15"/>
    </row>
  </sheetData>
  <mergeCells count="4">
    <mergeCell ref="A6:E6"/>
    <mergeCell ref="A4:E4"/>
    <mergeCell ref="A1:E1"/>
    <mergeCell ref="A8:E8"/>
  </mergeCells>
  <phoneticPr fontId="1" type="noConversion"/>
  <pageMargins left="0.75" right="0.75" top="1" bottom="1" header="0.5" footer="0.5"/>
  <pageSetup paperSize="9" orientation="landscape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DENNÍ PRODEJ PVD00M0000</vt:lpstr>
      <vt:lpstr>D00M00 Evidence při uvádění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lastPrinted>2026-07-19T17:01:21Z</cp:lastPrinted>
  <dcterms:created xsi:type="dcterms:W3CDTF">2025-09-15T07:57:18Z</dcterms:created>
  <dcterms:modified xsi:type="dcterms:W3CDTF">2026-07-20T10:58:55Z</dcterms:modified>
</cp:coreProperties>
</file>